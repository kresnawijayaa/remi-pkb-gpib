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1d215c7494bb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kor per meja" sheetId="1" r:id="Rbe3a0581687b4bfc"/>
    <sheet xmlns:r="http://schemas.openxmlformats.org/officeDocument/2006/relationships" name="Cek satu peserta" sheetId="2" r:id="R2ed05306800d47f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1"/>
      <color rgb="FF232620"/>
      <name val="Arial"/>
    </font>
    <font>
      <b/>
      <sz val="11"/>
      <color rgb="FFFFFCF5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CF5"/>
      </patternFill>
    </fill>
    <fill>
      <patternFill patternType="solid">
        <fgColor rgb="FF232620"/>
      </patternFill>
    </fill>
    <fill>
      <patternFill patternType="solid">
        <fgColor rgb="FFFFF1C7"/>
      </patternFill>
    </fill>
    <fill>
      <patternFill patternType="solid">
        <fgColor rgb="FFD6E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1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right"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4" borderId="0" xfId="0" applyNumberFormat="1" applyFont="1" applyFill="1" applyBorder="1" applyAlignment="1">
      <alignment vertical="center"/>
    </xf>
    <xf numFmtId="0" fontId="1" fillId="5" borderId="0" xfId="0" applyNumberFormat="1" applyFont="1" applyFill="1" applyBorder="1" applyAlignment="1">
      <alignment vertical="center"/>
    </xf>
  </cellXfs>
  <cellStyles count="1">
    <cellStyle name="Normal" xfId="0"/>
  </cellStyles>
  <dxfs count="1">
    <dxf>
      <fill>
        <patternFill patternType="solid">
          <bgColor rgb="FFF5EBCF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7b32fde30408a" /><Relationship Type="http://schemas.openxmlformats.org/officeDocument/2006/relationships/theme" Target="/xl/theme/theme1.xml" Id="R02e89831de2b4675" /><Relationship Type="http://schemas.openxmlformats.org/officeDocument/2006/relationships/sharedStrings" Target="/xl/sharedStrings.xml" Id="R454adbaa13ac489e" /><Relationship Type="http://schemas.openxmlformats.org/officeDocument/2006/relationships/worksheet" Target="/xl/worksheets/sheet1.xml" Id="Rbe3a0581687b4bfc" /><Relationship Type="http://schemas.openxmlformats.org/officeDocument/2006/relationships/worksheet" Target="/xl/worksheets/sheet2.xml" Id="R2ed05306800d47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0" hidden="0" customWidth="1"/>
    <col min="2" max="2" width="10" hidden="0" customWidth="1"/>
    <col min="3" max="3" width="17" hidden="0" customWidth="1"/>
    <col min="4" max="4" width="13" hidden="0" customWidth="1"/>
    <col min="5" max="5" width="14" hidden="0" customWidth="1"/>
    <col min="6" max="6" width="12" hidden="0" customWidth="1"/>
    <col min="7" max="7" width="34" hidden="0" customWidth="1"/>
  </cols>
  <sheetData>
    <row r="1" ht="32" customHeight="1">
      <c r="A1" s="6" t="str">
        <v>Babak</v>
      </c>
      <c r="B1" s="6" t="str">
        <v>Meja</v>
      </c>
      <c r="C1" s="6" t="str">
        <v>Urutan tampil</v>
      </c>
      <c r="D1" s="6" t="str">
        <v>Skor</v>
      </c>
      <c r="E1" s="6" t="str">
        <v>Peringkat</v>
      </c>
      <c r="F1" s="6" t="str">
        <v>Poin</v>
      </c>
      <c r="G1" s="6" t="str">
        <v>Pengisian peringkat</v>
      </c>
    </row>
    <row r="2" ht="24" customHeight="1">
      <c r="A2" s="7" t="n">
        <v>1</v>
      </c>
      <c r="B2" s="7" t="n">
        <v>1</v>
      </c>
      <c r="C2" s="7" t="n">
        <v>1</v>
      </c>
      <c r="D2" s="7" t="n">
        <v>900</v>
      </c>
      <c r="E2" s="7" t="n">
        <v>1</v>
      </c>
      <c r="F2" s="8" t="n">
        <f>6-E2</f>
        <v>5</v>
      </c>
      <c r="G2" s="3" t="str">
        <v>Otomatis</v>
      </c>
    </row>
    <row r="3" ht="24" customHeight="1">
      <c r="A3" s="7" t="n">
        <v>1</v>
      </c>
      <c r="B3" s="7" t="n">
        <v>1</v>
      </c>
      <c r="C3" s="7" t="n">
        <v>2</v>
      </c>
      <c r="D3" s="7" t="n">
        <v>700</v>
      </c>
      <c r="E3" s="7" t="n">
        <v>2</v>
      </c>
      <c r="F3" s="8" t="n">
        <f>6-E3</f>
        <v>4</v>
      </c>
      <c r="G3" s="3" t="str">
        <v>Otomatis</v>
      </c>
    </row>
    <row r="4" ht="24" customHeight="1">
      <c r="A4" s="7" t="n">
        <v>1</v>
      </c>
      <c r="B4" s="7" t="n">
        <v>1</v>
      </c>
      <c r="C4" s="7" t="n">
        <v>3</v>
      </c>
      <c r="D4" s="7" t="n">
        <v>500</v>
      </c>
      <c r="E4" s="7" t="n">
        <v>3</v>
      </c>
      <c r="F4" s="8" t="n">
        <f>6-E4</f>
        <v>3</v>
      </c>
      <c r="G4" s="3" t="str">
        <v>Manual panitia (latihan)</v>
      </c>
    </row>
    <row r="5" ht="24" customHeight="1">
      <c r="A5" s="7" t="n">
        <v>1</v>
      </c>
      <c r="B5" s="7" t="n">
        <v>1</v>
      </c>
      <c r="C5" s="7" t="n">
        <v>4</v>
      </c>
      <c r="D5" s="7" t="n">
        <v>500</v>
      </c>
      <c r="E5" s="7" t="n">
        <v>4</v>
      </c>
      <c r="F5" s="8" t="n">
        <f>6-E5</f>
        <v>2</v>
      </c>
      <c r="G5" s="3" t="str">
        <v>Manual panitia (latihan)</v>
      </c>
    </row>
    <row r="6" ht="24" customHeight="1">
      <c r="A6" s="7" t="n">
        <v>1</v>
      </c>
      <c r="B6" s="7" t="n">
        <v>1</v>
      </c>
      <c r="C6" s="7" t="n">
        <v>5</v>
      </c>
      <c r="D6" s="7" t="n">
        <v>300</v>
      </c>
      <c r="E6" s="7" t="n">
        <v>5</v>
      </c>
      <c r="F6" s="8" t="n">
        <f>6-E6</f>
        <v>1</v>
      </c>
      <c r="G6" s="3" t="str">
        <v>Otomatis</v>
      </c>
    </row>
    <row r="7" ht="24" customHeight="1">
      <c r="A7" s="7" t="n">
        <v>1</v>
      </c>
      <c r="B7" s="7" t="n">
        <v>2</v>
      </c>
      <c r="C7" s="7" t="n">
        <v>1</v>
      </c>
      <c r="D7" s="7" t="n">
        <v>650</v>
      </c>
      <c r="E7" s="7" t="n">
        <v>3</v>
      </c>
      <c r="F7" s="8" t="n">
        <f>6-E7</f>
        <v>3</v>
      </c>
      <c r="G7" s="3" t="str">
        <v>Otomatis</v>
      </c>
    </row>
    <row r="8" ht="24" customHeight="1">
      <c r="A8" s="7" t="n">
        <v>1</v>
      </c>
      <c r="B8" s="7" t="n">
        <v>2</v>
      </c>
      <c r="C8" s="7" t="n">
        <v>2</v>
      </c>
      <c r="D8" s="7" t="n">
        <v>850</v>
      </c>
      <c r="E8" s="7" t="n">
        <v>1</v>
      </c>
      <c r="F8" s="8" t="n">
        <f>6-E8</f>
        <v>5</v>
      </c>
      <c r="G8" s="3" t="str">
        <v>Otomatis</v>
      </c>
    </row>
    <row r="9" ht="24" customHeight="1">
      <c r="A9" s="7" t="n">
        <v>1</v>
      </c>
      <c r="B9" s="7" t="n">
        <v>2</v>
      </c>
      <c r="C9" s="7" t="n">
        <v>3</v>
      </c>
      <c r="D9" s="7" t="n">
        <v>450</v>
      </c>
      <c r="E9" s="7" t="n">
        <v>5</v>
      </c>
      <c r="F9" s="8" t="n">
        <f>6-E9</f>
        <v>1</v>
      </c>
      <c r="G9" s="3" t="str">
        <v>Otomatis</v>
      </c>
    </row>
    <row r="10" ht="24" customHeight="1">
      <c r="A10" s="7" t="n">
        <v>1</v>
      </c>
      <c r="B10" s="7" t="n">
        <v>2</v>
      </c>
      <c r="C10" s="7" t="n">
        <v>4</v>
      </c>
      <c r="D10" s="7" t="n">
        <v>750</v>
      </c>
      <c r="E10" s="7" t="n">
        <v>2</v>
      </c>
      <c r="F10" s="8" t="n">
        <f>6-E10</f>
        <v>4</v>
      </c>
      <c r="G10" s="3" t="str">
        <v>Otomatis</v>
      </c>
    </row>
    <row r="11" ht="24" customHeight="1">
      <c r="A11" s="7" t="n">
        <v>1</v>
      </c>
      <c r="B11" s="7" t="n">
        <v>2</v>
      </c>
      <c r="C11" s="7" t="n">
        <v>5</v>
      </c>
      <c r="D11" s="7" t="n">
        <v>550</v>
      </c>
      <c r="E11" s="7" t="n">
        <v>4</v>
      </c>
      <c r="F11" s="8" t="n">
        <f>6-E11</f>
        <v>2</v>
      </c>
      <c r="G11" s="3" t="str">
        <v>Otomatis</v>
      </c>
    </row>
    <row r="12" ht="24" customHeight="1">
      <c r="A12" s="7" t="n">
        <v>1</v>
      </c>
      <c r="B12" s="7" t="n">
        <v>3</v>
      </c>
      <c r="C12" s="7" t="n">
        <v>1</v>
      </c>
      <c r="D12" s="7" t="n">
        <v>0</v>
      </c>
      <c r="E12" s="7" t="n">
        <v>5</v>
      </c>
      <c r="F12" s="8" t="n">
        <f>6-E12</f>
        <v>1</v>
      </c>
      <c r="G12" s="3" t="str">
        <v>Otomatis</v>
      </c>
    </row>
    <row r="13" ht="24" customHeight="1">
      <c r="A13" s="7" t="n">
        <v>1</v>
      </c>
      <c r="B13" s="7" t="n">
        <v>3</v>
      </c>
      <c r="C13" s="7" t="n">
        <v>2</v>
      </c>
      <c r="D13" s="7" t="n">
        <v>400</v>
      </c>
      <c r="E13" s="7" t="n">
        <v>1</v>
      </c>
      <c r="F13" s="8" t="n">
        <f>6-E13</f>
        <v>5</v>
      </c>
      <c r="G13" s="3" t="str">
        <v>Otomatis</v>
      </c>
    </row>
    <row r="14" ht="24" customHeight="1">
      <c r="A14" s="7" t="n">
        <v>1</v>
      </c>
      <c r="B14" s="7" t="n">
        <v>3</v>
      </c>
      <c r="C14" s="7" t="n">
        <v>3</v>
      </c>
      <c r="D14" s="7" t="n">
        <v>300</v>
      </c>
      <c r="E14" s="7" t="n">
        <v>2</v>
      </c>
      <c r="F14" s="8" t="n">
        <f>6-E14</f>
        <v>4</v>
      </c>
      <c r="G14" s="3" t="str">
        <v>Otomatis</v>
      </c>
    </row>
    <row r="15" ht="24" customHeight="1">
      <c r="A15" s="7" t="n">
        <v>1</v>
      </c>
      <c r="B15" s="7" t="n">
        <v>3</v>
      </c>
      <c r="C15" s="7" t="n">
        <v>4</v>
      </c>
      <c r="D15" s="7" t="n">
        <v>200</v>
      </c>
      <c r="E15" s="7" t="n">
        <v>3</v>
      </c>
      <c r="F15" s="8" t="n">
        <f>6-E15</f>
        <v>3</v>
      </c>
      <c r="G15" s="3" t="str">
        <v>Otomatis</v>
      </c>
    </row>
    <row r="16" ht="24" customHeight="1">
      <c r="A16" s="7" t="n">
        <v>1</v>
      </c>
      <c r="B16" s="7" t="n">
        <v>3</v>
      </c>
      <c r="C16" s="7" t="n">
        <v>5</v>
      </c>
      <c r="D16" s="7" t="n">
        <v>100</v>
      </c>
      <c r="E16" s="7" t="n">
        <v>4</v>
      </c>
      <c r="F16" s="8" t="n">
        <f>6-E16</f>
        <v>2</v>
      </c>
      <c r="G16" s="3" t="str">
        <v>Otomatis</v>
      </c>
    </row>
    <row r="17" ht="24" customHeight="1">
      <c r="A17" s="7" t="n">
        <v>1</v>
      </c>
      <c r="B17" s="7" t="n">
        <v>4</v>
      </c>
      <c r="C17" s="7" t="n">
        <v>1</v>
      </c>
      <c r="D17" s="7" t="n">
        <v>510</v>
      </c>
      <c r="E17" s="7" t="n">
        <v>5</v>
      </c>
      <c r="F17" s="8" t="n">
        <f>6-E17</f>
        <v>1</v>
      </c>
      <c r="G17" s="3" t="str">
        <v>Otomatis</v>
      </c>
    </row>
    <row r="18" ht="24" customHeight="1">
      <c r="A18" s="7" t="n">
        <v>1</v>
      </c>
      <c r="B18" s="7" t="n">
        <v>4</v>
      </c>
      <c r="C18" s="7" t="n">
        <v>2</v>
      </c>
      <c r="D18" s="7" t="n">
        <v>610</v>
      </c>
      <c r="E18" s="7" t="n">
        <v>4</v>
      </c>
      <c r="F18" s="8" t="n">
        <f>6-E18</f>
        <v>2</v>
      </c>
      <c r="G18" s="3" t="str">
        <v>Otomatis</v>
      </c>
    </row>
    <row r="19" ht="24" customHeight="1">
      <c r="A19" s="7" t="n">
        <v>1</v>
      </c>
      <c r="B19" s="7" t="n">
        <v>4</v>
      </c>
      <c r="C19" s="7" t="n">
        <v>3</v>
      </c>
      <c r="D19" s="7" t="n">
        <v>710</v>
      </c>
      <c r="E19" s="7" t="n">
        <v>3</v>
      </c>
      <c r="F19" s="8" t="n">
        <f>6-E19</f>
        <v>3</v>
      </c>
      <c r="G19" s="3" t="str">
        <v>Otomatis</v>
      </c>
    </row>
    <row r="20" ht="24" customHeight="1">
      <c r="A20" s="7" t="n">
        <v>1</v>
      </c>
      <c r="B20" s="7" t="n">
        <v>4</v>
      </c>
      <c r="C20" s="7" t="n">
        <v>4</v>
      </c>
      <c r="D20" s="7" t="n">
        <v>810</v>
      </c>
      <c r="E20" s="7" t="n">
        <v>2</v>
      </c>
      <c r="F20" s="8" t="n">
        <f>6-E20</f>
        <v>4</v>
      </c>
      <c r="G20" s="3" t="str">
        <v>Otomatis</v>
      </c>
    </row>
    <row r="21" ht="24" customHeight="1">
      <c r="A21" s="7" t="n">
        <v>1</v>
      </c>
      <c r="B21" s="7" t="n">
        <v>4</v>
      </c>
      <c r="C21" s="7" t="n">
        <v>5</v>
      </c>
      <c r="D21" s="7" t="n">
        <v>910</v>
      </c>
      <c r="E21" s="7" t="n">
        <v>1</v>
      </c>
      <c r="F21" s="8" t="n">
        <f>6-E21</f>
        <v>5</v>
      </c>
      <c r="G21" s="3" t="str">
        <v>Otomatis</v>
      </c>
    </row>
    <row r="22" ht="24" customHeight="1">
      <c r="A22" s="7" t="n">
        <v>2</v>
      </c>
      <c r="B22" s="7" t="n">
        <v>1</v>
      </c>
      <c r="C22" s="7" t="n">
        <v>1</v>
      </c>
      <c r="D22" s="7" t="n">
        <v>600</v>
      </c>
      <c r="E22" s="7" t="n">
        <v>3</v>
      </c>
      <c r="F22" s="8" t="n">
        <f>6-E22</f>
        <v>3</v>
      </c>
      <c r="G22" s="3" t="str">
        <v>Otomatis</v>
      </c>
    </row>
    <row r="23" ht="24" customHeight="1">
      <c r="A23" s="7" t="n">
        <v>2</v>
      </c>
      <c r="B23" s="7" t="n">
        <v>1</v>
      </c>
      <c r="C23" s="7" t="n">
        <v>2</v>
      </c>
      <c r="D23" s="7" t="n">
        <v>800</v>
      </c>
      <c r="E23" s="7" t="n">
        <v>2</v>
      </c>
      <c r="F23" s="8" t="n">
        <f>6-E23</f>
        <v>4</v>
      </c>
      <c r="G23" s="3" t="str">
        <v>Otomatis</v>
      </c>
    </row>
    <row r="24" ht="24" customHeight="1">
      <c r="A24" s="7" t="n">
        <v>2</v>
      </c>
      <c r="B24" s="7" t="n">
        <v>1</v>
      </c>
      <c r="C24" s="7" t="n">
        <v>3</v>
      </c>
      <c r="D24" s="7" t="n">
        <v>1000</v>
      </c>
      <c r="E24" s="7" t="n">
        <v>1</v>
      </c>
      <c r="F24" s="8" t="n">
        <f>6-E24</f>
        <v>5</v>
      </c>
      <c r="G24" s="3" t="str">
        <v>Otomatis</v>
      </c>
    </row>
    <row r="25" ht="24" customHeight="1">
      <c r="A25" s="7" t="n">
        <v>2</v>
      </c>
      <c r="B25" s="7" t="n">
        <v>1</v>
      </c>
      <c r="C25" s="7" t="n">
        <v>4</v>
      </c>
      <c r="D25" s="7" t="n">
        <v>400</v>
      </c>
      <c r="E25" s="7" t="n">
        <v>4</v>
      </c>
      <c r="F25" s="8" t="n">
        <f>6-E25</f>
        <v>2</v>
      </c>
      <c r="G25" s="3" t="str">
        <v>Otomatis</v>
      </c>
    </row>
    <row r="26" ht="24" customHeight="1">
      <c r="A26" s="7" t="n">
        <v>2</v>
      </c>
      <c r="B26" s="7" t="n">
        <v>1</v>
      </c>
      <c r="C26" s="7" t="n">
        <v>5</v>
      </c>
      <c r="D26" s="7" t="n">
        <v>200</v>
      </c>
      <c r="E26" s="7" t="n">
        <v>5</v>
      </c>
      <c r="F26" s="8" t="n">
        <f>6-E26</f>
        <v>1</v>
      </c>
      <c r="G26" s="3" t="str">
        <v>Otomatis</v>
      </c>
    </row>
    <row r="27" ht="24" customHeight="1">
      <c r="A27" s="7" t="n">
        <v>2</v>
      </c>
      <c r="B27" s="7" t="n">
        <v>2</v>
      </c>
      <c r="C27" s="7" t="n">
        <v>1</v>
      </c>
      <c r="D27" s="7" t="n">
        <v>720</v>
      </c>
      <c r="E27" s="7" t="n">
        <v>1</v>
      </c>
      <c r="F27" s="8" t="n">
        <f>6-E27</f>
        <v>5</v>
      </c>
      <c r="G27" s="3" t="str">
        <v>Manual panitia (latihan)</v>
      </c>
    </row>
    <row r="28" ht="24" customHeight="1">
      <c r="A28" s="7" t="n">
        <v>2</v>
      </c>
      <c r="B28" s="7" t="n">
        <v>2</v>
      </c>
      <c r="C28" s="7" t="n">
        <v>2</v>
      </c>
      <c r="D28" s="7" t="n">
        <v>720</v>
      </c>
      <c r="E28" s="7" t="n">
        <v>2</v>
      </c>
      <c r="F28" s="8" t="n">
        <f>6-E28</f>
        <v>4</v>
      </c>
      <c r="G28" s="3" t="str">
        <v>Manual panitia (latihan)</v>
      </c>
    </row>
    <row r="29" ht="24" customHeight="1">
      <c r="A29" s="7" t="n">
        <v>2</v>
      </c>
      <c r="B29" s="7" t="n">
        <v>2</v>
      </c>
      <c r="C29" s="7" t="n">
        <v>3</v>
      </c>
      <c r="D29" s="7" t="n">
        <v>520</v>
      </c>
      <c r="E29" s="7" t="n">
        <v>3</v>
      </c>
      <c r="F29" s="8" t="n">
        <f>6-E29</f>
        <v>3</v>
      </c>
      <c r="G29" s="3" t="str">
        <v>Otomatis</v>
      </c>
    </row>
    <row r="30" ht="24" customHeight="1">
      <c r="A30" s="7" t="n">
        <v>2</v>
      </c>
      <c r="B30" s="7" t="n">
        <v>2</v>
      </c>
      <c r="C30" s="7" t="n">
        <v>4</v>
      </c>
      <c r="D30" s="7" t="n">
        <v>320</v>
      </c>
      <c r="E30" s="7" t="n">
        <v>4</v>
      </c>
      <c r="F30" s="8" t="n">
        <f>6-E30</f>
        <v>2</v>
      </c>
      <c r="G30" s="3" t="str">
        <v>Otomatis</v>
      </c>
    </row>
    <row r="31" ht="24" customHeight="1">
      <c r="A31" s="7" t="n">
        <v>2</v>
      </c>
      <c r="B31" s="7" t="n">
        <v>2</v>
      </c>
      <c r="C31" s="7" t="n">
        <v>5</v>
      </c>
      <c r="D31" s="7" t="n">
        <v>120</v>
      </c>
      <c r="E31" s="7" t="n">
        <v>5</v>
      </c>
      <c r="F31" s="8" t="n">
        <f>6-E31</f>
        <v>1</v>
      </c>
      <c r="G31" s="3" t="str">
        <v>Otomatis</v>
      </c>
    </row>
    <row r="32" ht="24" customHeight="1">
      <c r="A32" s="7" t="n">
        <v>2</v>
      </c>
      <c r="B32" s="7" t="n">
        <v>3</v>
      </c>
      <c r="C32" s="7" t="n">
        <v>1</v>
      </c>
      <c r="D32" s="7" t="n">
        <v>450</v>
      </c>
      <c r="E32" s="7" t="n">
        <v>5</v>
      </c>
      <c r="F32" s="8" t="n">
        <f>6-E32</f>
        <v>1</v>
      </c>
      <c r="G32" s="3" t="str">
        <v>Otomatis</v>
      </c>
    </row>
    <row r="33" ht="24" customHeight="1">
      <c r="A33" s="7" t="n">
        <v>2</v>
      </c>
      <c r="B33" s="7" t="n">
        <v>3</v>
      </c>
      <c r="C33" s="7" t="n">
        <v>2</v>
      </c>
      <c r="D33" s="7" t="n">
        <v>550</v>
      </c>
      <c r="E33" s="7" t="n">
        <v>4</v>
      </c>
      <c r="F33" s="8" t="n">
        <f>6-E33</f>
        <v>2</v>
      </c>
      <c r="G33" s="3" t="str">
        <v>Otomatis</v>
      </c>
    </row>
    <row r="34" ht="24" customHeight="1">
      <c r="A34" s="7" t="n">
        <v>2</v>
      </c>
      <c r="B34" s="7" t="n">
        <v>3</v>
      </c>
      <c r="C34" s="7" t="n">
        <v>3</v>
      </c>
      <c r="D34" s="7" t="n">
        <v>650</v>
      </c>
      <c r="E34" s="7" t="n">
        <v>3</v>
      </c>
      <c r="F34" s="8" t="n">
        <f>6-E34</f>
        <v>3</v>
      </c>
      <c r="G34" s="3" t="str">
        <v>Otomatis</v>
      </c>
    </row>
    <row r="35" ht="24" customHeight="1">
      <c r="A35" s="7" t="n">
        <v>2</v>
      </c>
      <c r="B35" s="7" t="n">
        <v>3</v>
      </c>
      <c r="C35" s="7" t="n">
        <v>4</v>
      </c>
      <c r="D35" s="7" t="n">
        <v>750</v>
      </c>
      <c r="E35" s="7" t="n">
        <v>2</v>
      </c>
      <c r="F35" s="8" t="n">
        <f>6-E35</f>
        <v>4</v>
      </c>
      <c r="G35" s="3" t="str">
        <v>Otomatis</v>
      </c>
    </row>
    <row r="36" ht="24" customHeight="1">
      <c r="A36" s="7" t="n">
        <v>2</v>
      </c>
      <c r="B36" s="7" t="n">
        <v>3</v>
      </c>
      <c r="C36" s="7" t="n">
        <v>5</v>
      </c>
      <c r="D36" s="7" t="n">
        <v>850</v>
      </c>
      <c r="E36" s="7" t="n">
        <v>1</v>
      </c>
      <c r="F36" s="8" t="n">
        <f>6-E36</f>
        <v>5</v>
      </c>
      <c r="G36" s="3" t="str">
        <v>Otomatis</v>
      </c>
    </row>
    <row r="37" ht="24" customHeight="1">
      <c r="A37" s="7" t="n">
        <v>2</v>
      </c>
      <c r="B37" s="7" t="n">
        <v>4</v>
      </c>
      <c r="C37" s="7" t="n">
        <v>1</v>
      </c>
      <c r="D37" s="7" t="n">
        <v>990</v>
      </c>
      <c r="E37" s="7" t="n">
        <v>1</v>
      </c>
      <c r="F37" s="8" t="n">
        <f>6-E37</f>
        <v>5</v>
      </c>
      <c r="G37" s="3" t="str">
        <v>Otomatis</v>
      </c>
    </row>
    <row r="38" ht="24" customHeight="1">
      <c r="A38" s="7" t="n">
        <v>2</v>
      </c>
      <c r="B38" s="7" t="n">
        <v>4</v>
      </c>
      <c r="C38" s="7" t="n">
        <v>2</v>
      </c>
      <c r="D38" s="7" t="n">
        <v>790</v>
      </c>
      <c r="E38" s="7" t="n">
        <v>2</v>
      </c>
      <c r="F38" s="8" t="n">
        <f>6-E38</f>
        <v>4</v>
      </c>
      <c r="G38" s="3" t="str">
        <v>Otomatis</v>
      </c>
    </row>
    <row r="39" ht="24" customHeight="1">
      <c r="A39" s="7" t="n">
        <v>2</v>
      </c>
      <c r="B39" s="7" t="n">
        <v>4</v>
      </c>
      <c r="C39" s="7" t="n">
        <v>3</v>
      </c>
      <c r="D39" s="7" t="n">
        <v>590</v>
      </c>
      <c r="E39" s="7" t="n">
        <v>3</v>
      </c>
      <c r="F39" s="8" t="n">
        <f>6-E39</f>
        <v>3</v>
      </c>
      <c r="G39" s="3" t="str">
        <v>Otomatis</v>
      </c>
    </row>
    <row r="40" ht="24" customHeight="1">
      <c r="A40" s="7" t="n">
        <v>2</v>
      </c>
      <c r="B40" s="7" t="n">
        <v>4</v>
      </c>
      <c r="C40" s="7" t="n">
        <v>4</v>
      </c>
      <c r="D40" s="7" t="n">
        <v>390</v>
      </c>
      <c r="E40" s="7" t="n">
        <v>4</v>
      </c>
      <c r="F40" s="8" t="n">
        <f>6-E40</f>
        <v>2</v>
      </c>
      <c r="G40" s="3" t="str">
        <v>Otomatis</v>
      </c>
    </row>
    <row r="41" ht="24" customHeight="1">
      <c r="A41" s="7" t="n">
        <v>2</v>
      </c>
      <c r="B41" s="7" t="n">
        <v>4</v>
      </c>
      <c r="C41" s="7" t="n">
        <v>5</v>
      </c>
      <c r="D41" s="7" t="n">
        <v>190</v>
      </c>
      <c r="E41" s="7" t="n">
        <v>5</v>
      </c>
      <c r="F41" s="8" t="n">
        <f>6-E41</f>
        <v>1</v>
      </c>
      <c r="G41" s="3" t="str">
        <v>Otomatis</v>
      </c>
    </row>
    <row r="42" ht="24" customHeight="1">
      <c r="A42" s="7" t="n">
        <v>3</v>
      </c>
      <c r="B42" s="7" t="n">
        <v>1</v>
      </c>
      <c r="C42" s="7" t="n">
        <v>1</v>
      </c>
      <c r="D42" s="7" t="n">
        <v>810</v>
      </c>
      <c r="E42" s="7" t="n">
        <v>1</v>
      </c>
      <c r="F42" s="8" t="n">
        <f>6-E42</f>
        <v>5</v>
      </c>
      <c r="G42" s="3" t="str">
        <v>Otomatis</v>
      </c>
    </row>
    <row r="43" ht="24" customHeight="1">
      <c r="A43" s="7" t="n">
        <v>3</v>
      </c>
      <c r="B43" s="7" t="n">
        <v>1</v>
      </c>
      <c r="C43" s="7" t="n">
        <v>2</v>
      </c>
      <c r="D43" s="7" t="n">
        <v>710</v>
      </c>
      <c r="E43" s="7" t="n">
        <v>2</v>
      </c>
      <c r="F43" s="8" t="n">
        <f>6-E43</f>
        <v>4</v>
      </c>
      <c r="G43" s="3" t="str">
        <v>Otomatis</v>
      </c>
    </row>
    <row r="44" ht="24" customHeight="1">
      <c r="A44" s="7" t="n">
        <v>3</v>
      </c>
      <c r="B44" s="7" t="n">
        <v>1</v>
      </c>
      <c r="C44" s="7" t="n">
        <v>3</v>
      </c>
      <c r="D44" s="7" t="n">
        <v>610</v>
      </c>
      <c r="E44" s="7" t="n">
        <v>3</v>
      </c>
      <c r="F44" s="8" t="n">
        <f>6-E44</f>
        <v>3</v>
      </c>
      <c r="G44" s="3" t="str">
        <v>Otomatis</v>
      </c>
    </row>
    <row r="45" ht="24" customHeight="1">
      <c r="A45" s="7" t="n">
        <v>3</v>
      </c>
      <c r="B45" s="7" t="n">
        <v>1</v>
      </c>
      <c r="C45" s="7" t="n">
        <v>4</v>
      </c>
      <c r="D45" s="7" t="n">
        <v>510</v>
      </c>
      <c r="E45" s="7" t="n">
        <v>4</v>
      </c>
      <c r="F45" s="8" t="n">
        <f>6-E45</f>
        <v>2</v>
      </c>
      <c r="G45" s="3" t="str">
        <v>Otomatis</v>
      </c>
    </row>
    <row r="46" ht="24" customHeight="1">
      <c r="A46" s="7" t="n">
        <v>3</v>
      </c>
      <c r="B46" s="7" t="n">
        <v>1</v>
      </c>
      <c r="C46" s="7" t="n">
        <v>5</v>
      </c>
      <c r="D46" s="7" t="n">
        <v>410</v>
      </c>
      <c r="E46" s="7" t="n">
        <v>5</v>
      </c>
      <c r="F46" s="8" t="n">
        <f>6-E46</f>
        <v>1</v>
      </c>
      <c r="G46" s="3" t="str">
        <v>Otomatis</v>
      </c>
    </row>
    <row r="47" ht="24" customHeight="1">
      <c r="A47" s="7" t="n">
        <v>3</v>
      </c>
      <c r="B47" s="7" t="n">
        <v>2</v>
      </c>
      <c r="C47" s="7" t="n">
        <v>1</v>
      </c>
      <c r="D47" s="7" t="n">
        <v>460</v>
      </c>
      <c r="E47" s="7" t="n">
        <v>5</v>
      </c>
      <c r="F47" s="8" t="n">
        <f>6-E47</f>
        <v>1</v>
      </c>
      <c r="G47" s="3" t="str">
        <v>Otomatis</v>
      </c>
    </row>
    <row r="48" ht="24" customHeight="1">
      <c r="A48" s="7" t="n">
        <v>3</v>
      </c>
      <c r="B48" s="7" t="n">
        <v>2</v>
      </c>
      <c r="C48" s="7" t="n">
        <v>2</v>
      </c>
      <c r="D48" s="7" t="n">
        <v>660</v>
      </c>
      <c r="E48" s="7" t="n">
        <v>3</v>
      </c>
      <c r="F48" s="8" t="n">
        <f>6-E48</f>
        <v>3</v>
      </c>
      <c r="G48" s="3" t="str">
        <v>Otomatis</v>
      </c>
    </row>
    <row r="49" ht="24" customHeight="1">
      <c r="A49" s="7" t="n">
        <v>3</v>
      </c>
      <c r="B49" s="7" t="n">
        <v>2</v>
      </c>
      <c r="C49" s="7" t="n">
        <v>3</v>
      </c>
      <c r="D49" s="7" t="n">
        <v>860</v>
      </c>
      <c r="E49" s="7" t="n">
        <v>1</v>
      </c>
      <c r="F49" s="8" t="n">
        <f>6-E49</f>
        <v>5</v>
      </c>
      <c r="G49" s="3" t="str">
        <v>Otomatis</v>
      </c>
    </row>
    <row r="50" ht="24" customHeight="1">
      <c r="A50" s="7" t="n">
        <v>3</v>
      </c>
      <c r="B50" s="7" t="n">
        <v>2</v>
      </c>
      <c r="C50" s="7" t="n">
        <v>4</v>
      </c>
      <c r="D50" s="7" t="n">
        <v>760</v>
      </c>
      <c r="E50" s="7" t="n">
        <v>2</v>
      </c>
      <c r="F50" s="8" t="n">
        <f>6-E50</f>
        <v>4</v>
      </c>
      <c r="G50" s="3" t="str">
        <v>Otomatis</v>
      </c>
    </row>
    <row r="51" ht="24" customHeight="1">
      <c r="A51" s="7" t="n">
        <v>3</v>
      </c>
      <c r="B51" s="7" t="n">
        <v>2</v>
      </c>
      <c r="C51" s="7" t="n">
        <v>5</v>
      </c>
      <c r="D51" s="7" t="n">
        <v>560</v>
      </c>
      <c r="E51" s="7" t="n">
        <v>4</v>
      </c>
      <c r="F51" s="8" t="n">
        <f>6-E51</f>
        <v>2</v>
      </c>
      <c r="G51" s="3" t="str">
        <v>Otomatis</v>
      </c>
    </row>
    <row r="52" ht="24" customHeight="1">
      <c r="A52" s="7" t="n">
        <v>3</v>
      </c>
      <c r="B52" s="7" t="n">
        <v>3</v>
      </c>
      <c r="C52" s="7" t="n">
        <v>1</v>
      </c>
      <c r="D52" s="7" t="n">
        <v>350</v>
      </c>
      <c r="E52" s="7" t="n">
        <v>5</v>
      </c>
      <c r="F52" s="8" t="n">
        <f>6-E52</f>
        <v>1</v>
      </c>
      <c r="G52" s="3" t="str">
        <v>Otomatis</v>
      </c>
    </row>
    <row r="53" ht="24" customHeight="1">
      <c r="A53" s="7" t="n">
        <v>3</v>
      </c>
      <c r="B53" s="7" t="n">
        <v>3</v>
      </c>
      <c r="C53" s="7" t="n">
        <v>2</v>
      </c>
      <c r="D53" s="7" t="n">
        <v>450</v>
      </c>
      <c r="E53" s="7" t="n">
        <v>4</v>
      </c>
      <c r="F53" s="8" t="n">
        <f>6-E53</f>
        <v>2</v>
      </c>
      <c r="G53" s="3" t="str">
        <v>Otomatis</v>
      </c>
    </row>
    <row r="54" ht="24" customHeight="1">
      <c r="A54" s="7" t="n">
        <v>3</v>
      </c>
      <c r="B54" s="7" t="n">
        <v>3</v>
      </c>
      <c r="C54" s="7" t="n">
        <v>3</v>
      </c>
      <c r="D54" s="7" t="n">
        <v>550</v>
      </c>
      <c r="E54" s="7" t="n">
        <v>3</v>
      </c>
      <c r="F54" s="8" t="n">
        <f>6-E54</f>
        <v>3</v>
      </c>
      <c r="G54" s="3" t="str">
        <v>Otomatis</v>
      </c>
    </row>
    <row r="55" ht="24" customHeight="1">
      <c r="A55" s="7" t="n">
        <v>3</v>
      </c>
      <c r="B55" s="7" t="n">
        <v>3</v>
      </c>
      <c r="C55" s="7" t="n">
        <v>4</v>
      </c>
      <c r="D55" s="7" t="n">
        <v>650</v>
      </c>
      <c r="E55" s="7" t="n">
        <v>2</v>
      </c>
      <c r="F55" s="8" t="n">
        <f>6-E55</f>
        <v>4</v>
      </c>
      <c r="G55" s="3" t="str">
        <v>Otomatis</v>
      </c>
    </row>
    <row r="56" ht="24" customHeight="1">
      <c r="A56" s="7" t="n">
        <v>3</v>
      </c>
      <c r="B56" s="7" t="n">
        <v>3</v>
      </c>
      <c r="C56" s="7" t="n">
        <v>5</v>
      </c>
      <c r="D56" s="7" t="n">
        <v>750</v>
      </c>
      <c r="E56" s="7" t="n">
        <v>1</v>
      </c>
      <c r="F56" s="8" t="n">
        <f>6-E56</f>
        <v>5</v>
      </c>
      <c r="G56" s="3" t="str">
        <v>Otomatis</v>
      </c>
    </row>
    <row r="57" ht="24" customHeight="1">
      <c r="A57" s="7" t="n">
        <v>3</v>
      </c>
      <c r="B57" s="7" t="n">
        <v>4</v>
      </c>
      <c r="C57" s="7" t="n">
        <v>1</v>
      </c>
      <c r="D57" s="7" t="n">
        <v>920</v>
      </c>
      <c r="E57" s="7" t="n">
        <v>1</v>
      </c>
      <c r="F57" s="8" t="n">
        <f>6-E57</f>
        <v>5</v>
      </c>
      <c r="G57" s="3" t="str">
        <v>Otomatis</v>
      </c>
    </row>
    <row r="58" ht="24" customHeight="1">
      <c r="A58" s="7" t="n">
        <v>3</v>
      </c>
      <c r="B58" s="7" t="n">
        <v>4</v>
      </c>
      <c r="C58" s="7" t="n">
        <v>2</v>
      </c>
      <c r="D58" s="7" t="n">
        <v>820</v>
      </c>
      <c r="E58" s="7" t="n">
        <v>2</v>
      </c>
      <c r="F58" s="8" t="n">
        <f>6-E58</f>
        <v>4</v>
      </c>
      <c r="G58" s="3" t="str">
        <v>Otomatis</v>
      </c>
    </row>
    <row r="59" ht="24" customHeight="1">
      <c r="A59" s="7" t="n">
        <v>3</v>
      </c>
      <c r="B59" s="7" t="n">
        <v>4</v>
      </c>
      <c r="C59" s="7" t="n">
        <v>3</v>
      </c>
      <c r="D59" s="7" t="n">
        <v>620</v>
      </c>
      <c r="E59" s="7" t="n">
        <v>4</v>
      </c>
      <c r="F59" s="8" t="n">
        <f>6-E59</f>
        <v>2</v>
      </c>
      <c r="G59" s="3" t="str">
        <v>Otomatis</v>
      </c>
    </row>
    <row r="60" ht="24" customHeight="1">
      <c r="A60" s="7" t="n">
        <v>3</v>
      </c>
      <c r="B60" s="7" t="n">
        <v>4</v>
      </c>
      <c r="C60" s="7" t="n">
        <v>4</v>
      </c>
      <c r="D60" s="7" t="n">
        <v>520</v>
      </c>
      <c r="E60" s="7" t="n">
        <v>5</v>
      </c>
      <c r="F60" s="8" t="n">
        <f>6-E60</f>
        <v>1</v>
      </c>
      <c r="G60" s="3" t="str">
        <v>Otomatis</v>
      </c>
    </row>
    <row r="61" ht="24" customHeight="1">
      <c r="A61" s="7" t="n">
        <v>3</v>
      </c>
      <c r="B61" s="7" t="n">
        <v>4</v>
      </c>
      <c r="C61" s="7" t="n">
        <v>5</v>
      </c>
      <c r="D61" s="7" t="n">
        <v>720</v>
      </c>
      <c r="E61" s="7" t="n">
        <v>3</v>
      </c>
      <c r="F61" s="8" t="n">
        <f>6-E61</f>
        <v>3</v>
      </c>
      <c r="G61" s="3" t="str">
        <v>Otomatis</v>
      </c>
    </row>
  </sheetData>
  <conditionalFormatting sqref="A2:G61">
    <cfRule type="expression" dxfId="0" priority="1">
      <formula>$G2="Manual panitia (latihan)"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14" hidden="0" customWidth="1"/>
    <col min="2" max="2" width="20" hidden="0" customWidth="1"/>
    <col min="3" max="3" width="20" hidden="0" customWidth="1"/>
    <col min="4" max="4" width="14" hidden="0" customWidth="1"/>
    <col min="5" max="5" width="14" hidden="0" customWidth="1"/>
    <col min="6" max="6" width="14" hidden="0" customWidth="1"/>
  </cols>
  <sheetData>
    <row r="1" ht="32" customHeight="1">
      <c r="A1" s="6" t="str">
        <v>Babak</v>
      </c>
      <c r="B1" s="6" t="str">
        <v>Skor peserta</v>
      </c>
      <c r="C1" s="6" t="str">
        <v>Peringkat meja</v>
      </c>
      <c r="D1" s="6" t="str">
        <v>Poin</v>
      </c>
      <c r="E1" s="6" t="str">
        <v>Gold</v>
      </c>
      <c r="F1" s="6" t="str">
        <v>Silver</v>
      </c>
    </row>
    <row r="2" ht="24" customHeight="1">
      <c r="A2" s="3" t="n">
        <v>1</v>
      </c>
      <c r="B2" s="9"/>
      <c r="C2" s="9"/>
      <c r="D2" s="3" t="str">
        <f>IF(C2="","",6-C2)</f>
      </c>
      <c r="E2" s="3" t="str">
        <f>IF(C2="","",IF(C2=1,1,0))</f>
      </c>
      <c r="F2" s="3" t="str">
        <f>IF(C2="","",IF(C2=2,1,0))</f>
      </c>
    </row>
    <row r="3" ht="24" customHeight="1">
      <c r="A3" s="3" t="n">
        <v>2</v>
      </c>
      <c r="B3" s="9"/>
      <c r="C3" s="9"/>
      <c r="D3" s="3" t="str">
        <f>IF(C3="","",6-C3)</f>
      </c>
      <c r="E3" s="3" t="str">
        <f>IF(C3="","",IF(C3=1,1,0))</f>
      </c>
      <c r="F3" s="3" t="str">
        <f>IF(C3="","",IF(C3=2,1,0))</f>
      </c>
    </row>
    <row r="4" ht="24" customHeight="1">
      <c r="A4" s="3" t="n">
        <v>3</v>
      </c>
      <c r="B4" s="9"/>
      <c r="C4" s="9"/>
      <c r="D4" s="3" t="str">
        <f>IF(C4="","",6-C4)</f>
      </c>
      <c r="E4" s="3" t="str">
        <f>IF(C4="","",IF(C4=1,1,0))</f>
      </c>
      <c r="F4" s="3" t="str">
        <f>IF(C4="","",IF(C4=2,1,0))</f>
      </c>
    </row>
    <row r="5" ht="24" customHeight="1">
      <c r="A5" s="3"/>
      <c r="B5" s="3"/>
      <c r="C5" s="3"/>
      <c r="D5" s="3"/>
      <c r="E5" s="3"/>
      <c r="F5" s="3"/>
    </row>
    <row r="6" ht="24" customHeight="1">
      <c r="A6" s="10" t="str">
        <v>Total 3 babak</v>
      </c>
      <c r="B6" s="10" t="str">
        <f>IF(COUNT(B2:B4)&lt;3,"Belum lengkap",SUM(B2:B4))</f>
        <v>Belum lengkap</v>
      </c>
      <c r="C6" s="10" t="str">
        <v>Poin</v>
      </c>
      <c r="D6" s="10" t="str">
        <f>IF(COUNT(C2:C4)&lt;3,"Belum lengkap",SUM(D2:D4))</f>
        <v>Belum lengkap</v>
      </c>
      <c r="E6" s="10" t="str">
        <f>IF(COUNT(C2:C4)&lt;3,"",SUM(E2:E4))</f>
      </c>
      <c r="F6" s="10" t="str">
        <f>IF(COUNT(C2:C4)&lt;3,"",SUM(F2:F4))</f>
      </c>
    </row>
    <row r="7" ht="24" customHeight="1">
      <c r="A7" s="3"/>
      <c r="B7" s="3"/>
      <c r="C7" s="3"/>
      <c r="D7" s="3"/>
      <c r="E7" s="3"/>
      <c r="F7" s="3"/>
    </row>
    <row r="8" ht="24" customHeight="1">
      <c r="A8" s="3" t="str">
        <v>Bronze</v>
      </c>
      <c r="B8" s="3" t="str">
        <f>IF(COUNT(C2:C4)&lt;3,"Belum lengkap",COUNTIFS(C2:C4,3))</f>
        <v>Belum lengkap</v>
      </c>
      <c r="C8" s="3"/>
      <c r="D8" s="3"/>
      <c r="E8" s="3"/>
      <c r="F8" s="3"/>
    </row>
    <row r="9" ht="24" customHeight="1">
      <c r="A9" s="3" t="str">
        <v>Isi sel kuning dari riwayat web. Bukan file untuk diimpor.</v>
      </c>
      <c r="B9" s="3"/>
      <c r="C9" s="3"/>
      <c r="D9" s="3"/>
      <c r="E9" s="3"/>
      <c r="F9" s="3"/>
    </row>
  </sheetData>
  <dataValidations count="2">
    <dataValidation type="whole" operator="between" sqref="B2:B4">
      <formula1>-1000000</formula1>
      <formula2>1000000</formula2>
    </dataValidation>
    <dataValidation type="whole" operator="between" sqref="C2:C4">
      <formula1>1</formula1>
      <formula2>5</formula2>
    </dataValidation>
  </dataValidations>
  <pageMargins left="0.7" right="0.7" top="0.75" bottom="0.75" header="0.3" footer="0.3"/>
</worksheet>
</file>